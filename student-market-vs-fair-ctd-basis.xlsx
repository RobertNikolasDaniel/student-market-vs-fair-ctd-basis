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ED4AD432-42CF-4A16-B2A8-2A9195BE3309}" xr6:coauthVersionLast="47" xr6:coauthVersionMax="47" xr10:uidLastSave="{00000000-0000-0000-0000-000000000000}"/>
  <bookViews>
    <workbookView xWindow="-28920" yWindow="-120" windowWidth="29040" windowHeight="15720" xr2:uid="{9FAAD24E-ADA0-4137-8224-7F9FF12AA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3" i="1"/>
  <c r="E4" i="1" s="1"/>
  <c r="E6" i="1" s="1"/>
  <c r="E11" i="1" s="1"/>
  <c r="E5" i="1" l="1"/>
  <c r="E7" i="1" l="1"/>
  <c r="H6" i="1"/>
  <c r="H5" i="1"/>
  <c r="E8" i="1" l="1"/>
  <c r="K3" i="1"/>
  <c r="K4" i="1" l="1"/>
  <c r="E10" i="1"/>
  <c r="H3" i="1"/>
  <c r="K5" i="1" l="1"/>
  <c r="H4" i="1"/>
</calcChain>
</file>

<file path=xl/sharedStrings.xml><?xml version="1.0" encoding="utf-8"?>
<sst xmlns="http://schemas.openxmlformats.org/spreadsheetml/2006/main" count="33" uniqueCount="33">
  <si>
    <t>student-market-vs-fair-ctd-basis</t>
  </si>
  <si>
    <t>CTD Inputs</t>
  </si>
  <si>
    <t>Par</t>
  </si>
  <si>
    <t>Clean</t>
  </si>
  <si>
    <t>Rate Decimal</t>
  </si>
  <si>
    <t>Frequency</t>
  </si>
  <si>
    <t>Days in Coupon Period</t>
  </si>
  <si>
    <t>Days Since Last Coupon</t>
  </si>
  <si>
    <t>Futures Inputs</t>
  </si>
  <si>
    <t>Market Price</t>
  </si>
  <si>
    <t>Conversion Factor</t>
  </si>
  <si>
    <t>Days To Delivery</t>
  </si>
  <si>
    <t>Financing Inputs</t>
  </si>
  <si>
    <t>Repo Rate Decimal</t>
  </si>
  <si>
    <t>Engine Outputs</t>
  </si>
  <si>
    <t>CTD Acc Int</t>
  </si>
  <si>
    <t>CTD Dirty Price</t>
  </si>
  <si>
    <t>CTD Coup Pay</t>
  </si>
  <si>
    <t>Proj Fut Acc Int</t>
  </si>
  <si>
    <t>Converted FV Fut</t>
  </si>
  <si>
    <t>Ideal FV Fut</t>
  </si>
  <si>
    <t>Converted Mrkt Fut</t>
  </si>
  <si>
    <t>FV Invoice</t>
  </si>
  <si>
    <t xml:space="preserve">Mrkt Invoice </t>
  </si>
  <si>
    <t>FV gross</t>
  </si>
  <si>
    <t>FV net</t>
  </si>
  <si>
    <t>Mrkt gross</t>
  </si>
  <si>
    <t>Mrkt net</t>
  </si>
  <si>
    <t>CTD to Futures Basis</t>
  </si>
  <si>
    <t>Market to Ideal Basis</t>
  </si>
  <si>
    <t>Fut Basis</t>
  </si>
  <si>
    <t>Converted Basis</t>
  </si>
  <si>
    <t>Invoice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</si>
</sst>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11" borderId="0" xfId="0" applyFill="1"/>
    <xf numFmtId="0" fontId="0" fillId="7" borderId="1" xfId="0" applyFill="1" applyBorder="1"/>
    <xf numFmtId="0" fontId="0" fillId="7" borderId="2" xfId="0" applyFill="1" applyBorder="1"/>
    <xf numFmtId="0" fontId="0" fillId="8" borderId="1" xfId="0" applyFill="1" applyBorder="1"/>
    <xf numFmtId="0" fontId="0" fillId="8" borderId="2" xfId="0" applyFill="1" applyBorder="1"/>
    <xf numFmtId="0" fontId="0" fillId="9" borderId="1" xfId="0" applyFill="1" applyBorder="1"/>
    <xf numFmtId="0" fontId="0" fillId="9" borderId="2" xfId="0" applyFill="1" applyBorder="1"/>
    <xf numFmtId="0" fontId="0" fillId="12" borderId="0" xfId="0" applyFill="1" applyAlignment="1">
      <alignment wrapText="1"/>
    </xf>
    <xf numFmtId="0" fontId="0" fillId="13" borderId="0" xfId="0" applyFill="1"/>
    <xf numFmtId="0" fontId="0" fillId="14" borderId="1" xfId="0" applyFill="1" applyBorder="1"/>
    <xf numFmtId="0" fontId="0" fillId="14" borderId="2" xfId="0" applyFill="1" applyBorder="1"/>
    <xf numFmtId="0" fontId="0" fillId="10" borderId="0" xfId="0" applyFill="1" applyAlignment="1">
      <alignment wrapText="1"/>
    </xf>
    <xf numFmtId="0" fontId="0" fillId="15" borderId="0" xfId="0" applyFill="1"/>
    <xf numFmtId="0" fontId="0" fillId="16" borderId="1" xfId="0" applyFill="1" applyBorder="1"/>
    <xf numFmtId="0" fontId="0" fillId="1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05F0-7C7E-4B96-BB01-51D9E514DAD8}">
  <dimension ref="A1:K14"/>
  <sheetViews>
    <sheetView tabSelected="1" workbookViewId="0">
      <selection activeCell="J8" sqref="J8"/>
    </sheetView>
  </sheetViews>
  <sheetFormatPr defaultRowHeight="15" x14ac:dyDescent="0.25"/>
  <cols>
    <col min="1" max="1" width="36" customWidth="1"/>
    <col min="2" max="2" width="15" customWidth="1"/>
    <col min="4" max="4" width="18" customWidth="1"/>
    <col min="5" max="5" width="14.85546875" customWidth="1"/>
    <col min="6" max="6" width="13.42578125" customWidth="1"/>
    <col min="7" max="7" width="16.7109375" customWidth="1"/>
    <col min="8" max="8" width="13.85546875" customWidth="1"/>
    <col min="10" max="10" width="15.140625" customWidth="1"/>
    <col min="11" max="11" width="13.7109375" customWidth="1"/>
  </cols>
  <sheetData>
    <row r="1" spans="1:11" ht="39" customHeight="1" x14ac:dyDescent="0.25">
      <c r="A1" s="1" t="s">
        <v>0</v>
      </c>
    </row>
    <row r="2" spans="1:11" ht="35.25" customHeight="1" x14ac:dyDescent="0.25">
      <c r="A2" s="3" t="s">
        <v>1</v>
      </c>
      <c r="D2" s="6" t="s">
        <v>14</v>
      </c>
      <c r="G2" s="13" t="s">
        <v>28</v>
      </c>
      <c r="J2" s="17" t="s">
        <v>29</v>
      </c>
    </row>
    <row r="3" spans="1:11" ht="34.5" customHeight="1" x14ac:dyDescent="0.25">
      <c r="A3" s="2" t="s">
        <v>2</v>
      </c>
      <c r="B3" s="7">
        <v>100</v>
      </c>
      <c r="D3" s="2" t="s">
        <v>17</v>
      </c>
      <c r="E3" s="7">
        <f>(B5*B3)/B6</f>
        <v>2.125</v>
      </c>
      <c r="G3" s="14" t="s">
        <v>24</v>
      </c>
      <c r="H3" s="15">
        <f>E5-E8</f>
        <v>0.70753612446580405</v>
      </c>
      <c r="J3" s="18" t="s">
        <v>30</v>
      </c>
      <c r="K3" s="19">
        <f>B11-E7</f>
        <v>0.55610637919602368</v>
      </c>
    </row>
    <row r="4" spans="1:11" ht="33" customHeight="1" x14ac:dyDescent="0.25">
      <c r="A4" s="2" t="s">
        <v>3</v>
      </c>
      <c r="B4" s="8">
        <v>101.4375</v>
      </c>
      <c r="D4" s="2" t="s">
        <v>15</v>
      </c>
      <c r="E4" s="8">
        <f>(B7/B8)*E3</f>
        <v>0.71222527472527464</v>
      </c>
      <c r="G4" s="14" t="s">
        <v>25</v>
      </c>
      <c r="H4" s="16">
        <f>E5-E10</f>
        <v>-0.55345288652320335</v>
      </c>
      <c r="J4" s="18" t="s">
        <v>31</v>
      </c>
      <c r="K4" s="20">
        <f>E9-E8</f>
        <v>0.50733584974052803</v>
      </c>
    </row>
    <row r="5" spans="1:11" ht="32.25" customHeight="1" x14ac:dyDescent="0.25">
      <c r="A5" s="2" t="s">
        <v>4</v>
      </c>
      <c r="B5" s="8">
        <v>4.2500000000000003E-2</v>
      </c>
      <c r="D5" s="2" t="s">
        <v>16</v>
      </c>
      <c r="E5" s="8">
        <f>B4+E4</f>
        <v>102.14972527472527</v>
      </c>
      <c r="G5" s="14" t="s">
        <v>26</v>
      </c>
      <c r="H5" s="16">
        <f>E5-E9</f>
        <v>0.20020027472527602</v>
      </c>
      <c r="J5" s="18" t="s">
        <v>32</v>
      </c>
      <c r="K5" s="20">
        <f>E11-E10</f>
        <v>0.50733584974052803</v>
      </c>
    </row>
    <row r="6" spans="1:11" ht="34.5" customHeight="1" x14ac:dyDescent="0.25">
      <c r="A6" s="2" t="s">
        <v>5</v>
      </c>
      <c r="B6" s="8">
        <v>2</v>
      </c>
      <c r="D6" s="4" t="s">
        <v>18</v>
      </c>
      <c r="E6" s="10">
        <f>E4+(B12/B8)*E3</f>
        <v>1.2609890109890109</v>
      </c>
      <c r="G6" s="14" t="s">
        <v>27</v>
      </c>
      <c r="H6" s="16">
        <f>E5-E11</f>
        <v>-1.0607887362637314</v>
      </c>
    </row>
    <row r="7" spans="1:11" ht="34.5" customHeight="1" x14ac:dyDescent="0.25">
      <c r="A7" s="2" t="s">
        <v>7</v>
      </c>
      <c r="B7" s="8">
        <v>61</v>
      </c>
      <c r="D7" s="4" t="s">
        <v>20</v>
      </c>
      <c r="E7" s="10">
        <f>(E5+(E5*B14*(B12/360))-E6)/B9</f>
        <v>111.19389362080398</v>
      </c>
    </row>
    <row r="8" spans="1:11" ht="33" customHeight="1" x14ac:dyDescent="0.25">
      <c r="A8" s="2" t="s">
        <v>6</v>
      </c>
      <c r="B8" s="8">
        <v>182</v>
      </c>
      <c r="D8" s="4" t="s">
        <v>19</v>
      </c>
      <c r="E8" s="10">
        <f>E7*B9</f>
        <v>101.44218915025947</v>
      </c>
    </row>
    <row r="9" spans="1:11" ht="31.5" customHeight="1" x14ac:dyDescent="0.25">
      <c r="A9" s="2" t="s">
        <v>10</v>
      </c>
      <c r="B9" s="8">
        <v>0.9123</v>
      </c>
      <c r="D9" s="4" t="s">
        <v>21</v>
      </c>
      <c r="E9" s="9">
        <f>B11*B9</f>
        <v>101.94952499999999</v>
      </c>
    </row>
    <row r="10" spans="1:11" ht="34.5" customHeight="1" x14ac:dyDescent="0.25">
      <c r="A10" s="3" t="s">
        <v>8</v>
      </c>
      <c r="D10" s="5" t="s">
        <v>22</v>
      </c>
      <c r="E10" s="12">
        <f>E8+E6</f>
        <v>102.70317816124847</v>
      </c>
    </row>
    <row r="11" spans="1:11" ht="33" customHeight="1" x14ac:dyDescent="0.25">
      <c r="A11" s="4" t="s">
        <v>9</v>
      </c>
      <c r="B11" s="9">
        <v>111.75</v>
      </c>
      <c r="D11" s="5" t="s">
        <v>23</v>
      </c>
      <c r="E11" s="12">
        <f>+E9+E6</f>
        <v>103.210514010989</v>
      </c>
    </row>
    <row r="12" spans="1:11" ht="39.75" customHeight="1" x14ac:dyDescent="0.25">
      <c r="A12" s="4" t="s">
        <v>11</v>
      </c>
      <c r="B12" s="10">
        <v>47</v>
      </c>
    </row>
    <row r="13" spans="1:11" ht="33.75" customHeight="1" x14ac:dyDescent="0.25">
      <c r="A13" s="3" t="s">
        <v>12</v>
      </c>
    </row>
    <row r="14" spans="1:11" ht="36.75" customHeight="1" x14ac:dyDescent="0.25">
      <c r="A14" s="5" t="s">
        <v>13</v>
      </c>
      <c r="B14" s="11">
        <v>4.1500000000000002E-2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2A0D13-F200-4A1F-9F79-7740E77058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85CA32-E2FB-412D-B1E9-5919C659AC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6F7A5C-8622-4344-8881-B5CAB32BDED2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a22a689-7505-4716-b802-371d38c763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2026-06-01T20:40:46Z</dcterms:created>
  <dcterms:modified xsi:type="dcterms:W3CDTF">2026-06-01T22:16:06Z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